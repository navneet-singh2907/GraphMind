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c536dfb37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Matrix" sheetId="1" r:id="Rc89f69842f77485a"/>
    <x:sheet xmlns:r="http://schemas.openxmlformats.org/officeDocument/2006/relationships" name="Capacity Model" sheetId="2" r:id="R3a360d389e31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#,##0"/>
    <x:numFmt numFmtId="202" formatCode="&quot;$&quot;#,##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5A7A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i/>
      <x:sz val="9"/>
      <x:color rgb="FF586A78"/>
      <x:name val="Carlito"/>
    </x:font>
    <x:font>
      <x:b/>
      <x:sz val="11"/>
      <x:color rgb="FF0B5EA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1F5A7A"/>
      </x:patternFill>
    </x:fill>
    <x:fill>
      <x:patternFill patternType="solid">
        <x:fgColor rgb="FFF5F8FA"/>
      </x:patternFill>
    </x:fill>
    <x:fill>
      <x:patternFill patternType="solid">
        <x:fgColor rgb="FFDCEEFE"/>
      </x:patternFill>
    </x:fill>
    <x:fill>
      <x:patternFill patternType="solid">
        <x:fgColor rgb="FF2A7F7F"/>
      </x:patternFill>
    </x:fill>
  </x:fills>
  <x:borders count="15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top style="thin">
        <x:color rgb="FFD7E2E8"/>
      </x:top>
      <x:bottom style="thin">
        <x:color rgb="FFB9CDD8"/>
      </x:bottom>
    </x:border>
    <x:border>
      <x:left style="thin">
        <x:color rgb="FFD7E2E8"/>
      </x:left>
      <x:top style="thin">
        <x:color rgb="FFD7E2E8"/>
      </x:top>
      <x:bottom style="thin">
        <x:color rgb="FFD7E2E8"/>
      </x:bottom>
    </x:border>
    <x:border>
      <x:right style="thin">
        <x:color rgb="FFD7E2E8"/>
      </x:right>
      <x:top style="thin">
        <x:color rgb="FFD7E2E8"/>
      </x:top>
      <x:bottom style="thin">
        <x:color rgb="FFD7E2E8"/>
      </x:bottom>
    </x:border>
    <x:border>
      <x:left style="thin">
        <x:color rgb="FFB9CDD8"/>
      </x:left>
      <x:top style="thin">
        <x:color rgb="FFB9CDD8"/>
      </x:top>
    </x:border>
    <x:border>
      <x:right style="thin">
        <x:color rgb="FFB9CDD8"/>
      </x:right>
      <x:top style="thin">
        <x:color rgb="FFB9CDD8"/>
      </x:top>
    </x:border>
    <x:border>
      <x:left style="thin">
        <x:color rgb="FFB9CDD8"/>
      </x:left>
    </x:border>
    <x:border>
      <x:right style="thin">
        <x:color rgb="FFB9CDD8"/>
      </x:right>
    </x:border>
    <x:border>
      <x:left style="thin">
        <x:color rgb="FFB9CDD8"/>
      </x:left>
      <x:bottom style="thin">
        <x:color rgb="FFB9CDD8"/>
      </x:bottom>
    </x:border>
    <x:border>
      <x:right style="thin">
        <x:color rgb="FFB9CDD8"/>
      </x:right>
      <x:bottom style="thin">
        <x:color rgb="FFB9CDD8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/>
    <x:xf numFmtId="0" fontId="5" fillId="5" borderId="8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1" fontId="0" fillId="0" borderId="6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201" fontId="6" fillId="6" borderId="4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4" xfId="0" applyNumberFormat="1" applyFont="1" applyFill="1" applyBorder="1" applyAlignment="1">
      <x:alignment horizontal="right"/>
    </x:xf>
    <x:xf numFmtId="201" fontId="6" fillId="6" borderId="5" xfId="0" applyNumberFormat="1" applyFont="1" applyFill="1" applyBorder="1" applyAlignment="1">
      <x:alignment horizontal="right"/>
    </x:xf>
    <x:xf numFmtId="201" fontId="6" fillId="6" borderId="6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4" fillId="5" borderId="9" xfId="0" applyNumberFormat="1" applyFont="1" applyFill="1" applyBorder="1"/>
    <x:xf numFmtId="0" fontId="4" fillId="5" borderId="11" xfId="0" applyNumberFormat="1" applyFont="1" applyFill="1" applyBorder="1"/>
    <x:xf numFmtId="0" fontId="4" fillId="5" borderId="13" xfId="0" applyNumberFormat="1" applyFont="1" applyFill="1" applyBorder="1"/>
    <x:xf numFmtId="202" fontId="0" fillId="5" borderId="10" xfId="0" applyNumberFormat="1" applyFont="1" applyFill="1" applyBorder="1"/>
    <x:xf numFmtId="202" fontId="0" fillId="5" borderId="12" xfId="0" applyNumberFormat="1" applyFont="1" applyFill="1" applyBorder="1"/>
    <x:xf numFmtId="202" fontId="0" fillId="5" borderId="14" xfId="0" applyNumberFormat="1" applyFont="1" applyFill="1" applyBorder="1"/>
    <x:xf numFmtId="201" fontId="6" fillId="6" borderId="4" xfId="0" applyNumberFormat="1" applyFont="1" applyFill="1" applyBorder="1" applyAlignment="1">
      <x:alignment horizontal="right" vertical="center"/>
    </x:xf>
    <x:xf numFmtId="201" fontId="6" fillId="6" borderId="5" xfId="0" applyNumberFormat="1" applyFont="1" applyFill="1" applyBorder="1" applyAlignment="1">
      <x:alignment horizontal="right" vertical="center"/>
    </x:xf>
    <x:xf numFmtId="201" fontId="6" fillId="6" borderId="6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2" fontId="0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202" fontId="0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202" fontId="0" fillId="5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79d31a5f64151" /><Relationship Type="http://schemas.openxmlformats.org/officeDocument/2006/relationships/theme" Target="/xl/theme/theme1.xml" Id="R89d36b84563244b0" /><Relationship Type="http://schemas.openxmlformats.org/officeDocument/2006/relationships/sharedStrings" Target="/xl/sharedStrings.xml" Id="Rb9d8c34433a34ed1" /><Relationship Type="http://schemas.openxmlformats.org/officeDocument/2006/relationships/worksheet" Target="/xl/worksheets/sheet1.xml" Id="Rc89f69842f77485a" /><Relationship Type="http://schemas.openxmlformats.org/officeDocument/2006/relationships/worksheet" Target="/xl/worksheets/sheet2.xml" Id="R3a360d389e3143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6" hidden="0" customWidth="1"/>
    <x:col min="5" max="5" width="17" hidden="0" customWidth="1"/>
    <x:col min="6" max="6" width="12" hidden="0" customWidth="1"/>
    <x:col min="7" max="7" width="24" hidden="0" customWidth="1"/>
  </x:cols>
  <x:sheetData>
    <x:row r="1" ht="34" customHeight="1">
      <x:c r="A1" s="3" t="str">
        <x:v>HelioDesk Plan Matrix</x:v>
      </x:c>
      <x:c r="B1" s="3"/>
      <x:c r="C1" s="3"/>
      <x:c r="D1" s="3"/>
      <x:c r="E1" s="3"/>
      <x:c r="F1" s="3"/>
      <x:c r="G1" s="3"/>
    </x:row>
    <x:row r="2">
      <x:c r="A2" s="46" t="str">
        <x:v>Synthetic pricing and product limits for cross-format retrieval</x:v>
      </x:c>
      <x:c r="B2" s="46"/>
      <x:c r="C2" s="46"/>
      <x:c r="D2" s="46"/>
      <x:c r="E2" s="46"/>
      <x:c r="F2" s="46"/>
      <x:c r="G2" s="46"/>
    </x:row>
    <x:row r="3">
      <x:c r="A3" s="47"/>
      <x:c r="B3" s="47"/>
      <x:c r="C3" s="47"/>
      <x:c r="D3" s="47"/>
      <x:c r="E3" s="47"/>
      <x:c r="F3" s="47"/>
      <x:c r="G3" s="47"/>
    </x:row>
    <x:row r="4" ht="24" customHeight="1">
      <x:c r="A4" s="17" t="str">
        <x:v>Plan</x:v>
      </x:c>
      <x:c r="B4" s="18" t="str">
        <x:v>Monthly Base</x:v>
      </x:c>
      <x:c r="C4" s="18" t="str">
        <x:v>Included Agents</x:v>
      </x:c>
      <x:c r="D4" s="18" t="str">
        <x:v>Extra Agent</x:v>
      </x:c>
      <x:c r="E4" s="18" t="str">
        <x:v>Audit Retention</x:v>
      </x:c>
      <x:c r="F4" s="18" t="str">
        <x:v>SAML SSO</x:v>
      </x:c>
      <x:c r="G4" s="19" t="str">
        <x:v>Data Residency</x:v>
      </x:c>
    </x:row>
    <x:row r="5" ht="24" customHeight="1">
      <x:c r="A5" s="48" t="str">
        <x:v>Starter</x:v>
      </x:c>
      <x:c r="B5" s="49" t="n">
        <x:v>149</x:v>
      </x:c>
      <x:c r="C5" s="50" t="n">
        <x:v>10</x:v>
      </x:c>
      <x:c r="D5" s="49" t="n">
        <x:v>18</x:v>
      </x:c>
      <x:c r="E5" s="50" t="n">
        <x:v>30</x:v>
      </x:c>
      <x:c r="F5" s="51" t="str">
        <x:v>No</x:v>
      </x:c>
      <x:c r="G5" s="52" t="str">
        <x:v>us-east</x:v>
      </x:c>
    </x:row>
    <x:row r="6" ht="24" customHeight="1">
      <x:c r="A6" s="53" t="str">
        <x:v>Growth</x:v>
      </x:c>
      <x:c r="B6" s="54" t="n">
        <x:v>699</x:v>
      </x:c>
      <x:c r="C6" s="55" t="n">
        <x:v>50</x:v>
      </x:c>
      <x:c r="D6" s="54" t="n">
        <x:v>14</x:v>
      </x:c>
      <x:c r="E6" s="55" t="n">
        <x:v>180</x:v>
      </x:c>
      <x:c r="F6" s="56" t="str">
        <x:v>No</x:v>
      </x:c>
      <x:c r="G6" s="57" t="str">
        <x:v>us-east</x:v>
      </x:c>
    </x:row>
    <x:row r="7" ht="24" customHeight="1">
      <x:c r="A7" s="58" t="str">
        <x:v>Enterprise</x:v>
      </x:c>
      <x:c r="B7" s="59" t="n">
        <x:v>2499</x:v>
      </x:c>
      <x:c r="C7" s="60" t="n">
        <x:v>200</x:v>
      </x:c>
      <x:c r="D7" s="59" t="n">
        <x:v>10</x:v>
      </x:c>
      <x:c r="E7" s="60" t="n">
        <x:v>400</x:v>
      </x:c>
      <x:c r="F7" s="61" t="str">
        <x:v>Yes</x:v>
      </x:c>
      <x:c r="G7" s="62" t="str">
        <x:v>us-east and eu-west</x:v>
      </x:c>
    </x:row>
    <x:row r="8" ht="24" customHeight="1">
      <x:c r="A8" s="63" t="str">
        <x:v>Units</x:v>
      </x:c>
      <x:c r="B8" s="64" t="str">
        <x:v>USD/month</x:v>
      </x:c>
      <x:c r="C8" s="64" t="str">
        <x:v>agents</x:v>
      </x:c>
      <x:c r="D8" s="64" t="str">
        <x:v>USD/agent/month</x:v>
      </x:c>
      <x:c r="E8" s="64" t="str">
        <x:v>days</x:v>
      </x:c>
      <x:c r="F8" s="64" t="str">
        <x:v>included</x:v>
      </x:c>
      <x:c r="G8" s="65" t="str">
        <x:v>regions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5" hidden="0" customWidth="1"/>
    <x:col min="4" max="4" width="17" hidden="0" customWidth="1"/>
    <x:col min="5" max="5" width="17" hidden="0" customWidth="1"/>
    <x:col min="6" max="6" width="14" hidden="0" customWidth="1"/>
    <x:col min="7" max="7" width="17" hidden="0" customWidth="1"/>
  </x:cols>
  <x:sheetData>
    <x:row r="1" ht="34" customHeight="1">
      <x:c r="A1" s="3" t="str">
        <x:v>HelioDesk Pricing and Capacity Scenarios</x:v>
      </x:c>
      <x:c r="B1" s="3"/>
      <x:c r="C1" s="3"/>
      <x:c r="D1" s="3"/>
      <x:c r="E1" s="3"/>
      <x:c r="F1" s="3"/>
      <x:c r="G1" s="3"/>
    </x:row>
    <x:row r="2">
      <x:c r="A2" s="46" t="str">
        <x:v>Blue cells are editable assumptions; annual totals are formula-driven</x:v>
      </x:c>
      <x:c r="B2" s="46"/>
      <x:c r="C2" s="46"/>
      <x:c r="D2" s="46"/>
      <x:c r="E2" s="46"/>
      <x:c r="F2" s="46"/>
      <x:c r="G2" s="46"/>
    </x:row>
    <x:row r="3">
      <x:c r="A3" s="47"/>
      <x:c r="B3" s="47"/>
      <x:c r="C3" s="47"/>
      <x:c r="D3" s="47"/>
      <x:c r="E3" s="47"/>
      <x:c r="F3" s="47"/>
      <x:c r="G3" s="47"/>
    </x:row>
    <x:row r="4" ht="25" customHeight="1">
      <x:c r="A4" s="17" t="str">
        <x:v>Plan</x:v>
      </x:c>
      <x:c r="B4" s="18" t="str">
        <x:v>Scenario Agents</x:v>
      </x:c>
      <x:c r="C4" s="18" t="str">
        <x:v>Monthly Base</x:v>
      </x:c>
      <x:c r="D4" s="18" t="str">
        <x:v>Included Agents</x:v>
      </x:c>
      <x:c r="E4" s="18" t="str">
        <x:v>Extra Agent Rate</x:v>
      </x:c>
      <x:c r="F4" s="18" t="str">
        <x:v>Extra Agents</x:v>
      </x:c>
      <x:c r="G4" s="19" t="str">
        <x:v>Annual Cost</x:v>
      </x:c>
    </x:row>
    <x:row r="5" ht="25" customHeight="1">
      <x:c r="A5" s="48" t="str">
        <x:v>Starter</x:v>
      </x:c>
      <x:c r="B5" s="92" t="n">
        <x:v>12</x:v>
      </x:c>
      <x:c r="C5" s="49" t="n">
        <x:f>'Plan Matrix'!B5</x:f>
        <x:v>149</x:v>
      </x:c>
      <x:c r="D5" s="50" t="n">
        <x:f>'Plan Matrix'!C5</x:f>
        <x:v>10</x:v>
      </x:c>
      <x:c r="E5" s="49" t="n">
        <x:f>'Plan Matrix'!D5</x:f>
        <x:v>18</x:v>
      </x:c>
      <x:c r="F5" s="50" t="n">
        <x:f>MAX(B5-D5,0)</x:f>
        <x:v>2</x:v>
      </x:c>
      <x:c r="G5" s="49" t="n">
        <x:f>(C5+F5*E5)*12</x:f>
        <x:v>2220</x:v>
      </x:c>
    </x:row>
    <x:row r="6" ht="25" customHeight="1">
      <x:c r="A6" s="53" t="str">
        <x:v>Growth</x:v>
      </x:c>
      <x:c r="B6" s="93" t="n">
        <x:v>80</x:v>
      </x:c>
      <x:c r="C6" s="54" t="n">
        <x:f>'Plan Matrix'!B6</x:f>
        <x:v>699</x:v>
      </x:c>
      <x:c r="D6" s="55" t="n">
        <x:f>'Plan Matrix'!C6</x:f>
        <x:v>50</x:v>
      </x:c>
      <x:c r="E6" s="54" t="n">
        <x:f>'Plan Matrix'!D6</x:f>
        <x:v>14</x:v>
      </x:c>
      <x:c r="F6" s="55" t="n">
        <x:f>MAX(B6-D6,0)</x:f>
        <x:v>30</x:v>
      </x:c>
      <x:c r="G6" s="54" t="n">
        <x:f>(C6+F6*E6)*12</x:f>
        <x:v>13428</x:v>
      </x:c>
    </x:row>
    <x:row r="7" ht="25" customHeight="1">
      <x:c r="A7" s="58" t="str">
        <x:v>Enterprise</x:v>
      </x:c>
      <x:c r="B7" s="94" t="n">
        <x:v>250</x:v>
      </x:c>
      <x:c r="C7" s="59" t="n">
        <x:f>'Plan Matrix'!B7</x:f>
        <x:v>2499</x:v>
      </x:c>
      <x:c r="D7" s="60" t="n">
        <x:f>'Plan Matrix'!C7</x:f>
        <x:v>200</x:v>
      </x:c>
      <x:c r="E7" s="59" t="n">
        <x:f>'Plan Matrix'!D7</x:f>
        <x:v>10</x:v>
      </x:c>
      <x:c r="F7" s="60" t="n">
        <x:f>MAX(B7-D7,0)</x:f>
        <x:v>50</x:v>
      </x:c>
      <x:c r="G7" s="59" t="n">
        <x:f>(C7+F7*E7)*12</x:f>
        <x:v>35988</x:v>
      </x:c>
    </x:row>
    <x:row r="8">
      <x:c r="A8" s="47"/>
      <x:c r="B8" s="47"/>
      <x:c r="C8" s="47"/>
      <x:c r="D8" s="47"/>
      <x:c r="E8" s="47"/>
      <x:c r="F8" s="47"/>
      <x:c r="G8" s="47"/>
    </x:row>
    <x:row r="9">
      <x:c r="A9" s="95" t="str">
        <x:v>Scenario Summary</x:v>
      </x:c>
      <x:c r="B9" s="95" t="str">
        <x:v>Value</x:v>
      </x:c>
      <x:c r="C9" s="47"/>
      <x:c r="D9" s="47"/>
      <x:c r="E9" s="47"/>
      <x:c r="F9" s="47"/>
      <x:c r="G9" s="47"/>
    </x:row>
    <x:row r="10">
      <x:c r="A10" s="96" t="str">
        <x:v>Growth annual cost</x:v>
      </x:c>
      <x:c r="B10" s="97" t="n">
        <x:f>G6</x:f>
        <x:v>13428</x:v>
      </x:c>
      <x:c r="C10" s="47"/>
      <x:c r="D10" s="47"/>
      <x:c r="E10" s="47"/>
      <x:c r="F10" s="47"/>
      <x:c r="G10" s="47"/>
    </x:row>
    <x:row r="11">
      <x:c r="A11" s="98" t="str">
        <x:v>Enterprise annual cost</x:v>
      </x:c>
      <x:c r="B11" s="99" t="n">
        <x:f>G7</x:f>
        <x:v>35988</x:v>
      </x:c>
      <x:c r="C11" s="47"/>
      <x:c r="D11" s="47"/>
      <x:c r="E11" s="47"/>
      <x:c r="F11" s="47"/>
      <x:c r="G11" s="47"/>
    </x:row>
    <x:row r="12">
      <x:c r="A12" s="100" t="str">
        <x:v>Growth cost per agent / month</x:v>
      </x:c>
      <x:c r="B12" s="101" t="n">
        <x:f>G6/12/B6</x:f>
        <x:v>13.9875</x:v>
      </x:c>
      <x:c r="C12" s="47"/>
      <x:c r="D12" s="47"/>
      <x:c r="E12" s="47"/>
      <x:c r="F12" s="47"/>
      <x:c r="G12" s="47"/>
    </x:row>
  </x:sheetData>
  <x:mergeCells>
    <x:mergeCell ref="A1:G1"/>
    <x:mergeCell ref="A2:G2"/>
  </x:mergeCells>
  <x:pageMargins left="0.7" right="0.7" top="0.75" bottom="0.75" header="0.3" footer="0.3"/>
</x:worksheet>
</file>